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🤎 Home" sheetId="1" state="visible" r:id="rId1"/>
    <sheet name="🩷 Filter Instructions" sheetId="2" state="visible" r:id="rId2"/>
    <sheet name="💜 Fic Entries" sheetId="3" state="visible" r:id="rId3"/>
    <sheet name="💙 Series Entries" sheetId="4" state="visible" r:id="rId4"/>
    <sheet name="🩵 Archive Statistics" sheetId="5" state="visible" r:id="rId5"/>
    <sheet name="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311B92"/>
      <sz val="18"/>
    </font>
    <font>
      <name val="Calibri"/>
      <i val="1"/>
      <color rgb="005E35B1"/>
      <sz val="12"/>
    </font>
    <font>
      <name val="Calibri"/>
      <b val="1"/>
      <color rgb="00333333"/>
      <sz val="13"/>
    </font>
    <font>
      <name val="Calibri"/>
      <b val="1"/>
      <sz val="11"/>
    </font>
    <font>
      <name val="Calibri"/>
      <color rgb="00000000"/>
      <sz val="10"/>
    </font>
    <font>
      <name val="Calibri"/>
      <b val="1"/>
      <sz val="10"/>
    </font>
    <font>
      <name val="Calibri"/>
      <b val="1"/>
      <color rgb="001E88E5"/>
      <sz val="11"/>
      <u val="single"/>
    </font>
    <font>
      <name val="Calibri"/>
      <color rgb="00666666"/>
      <sz val="10"/>
    </font>
    <font>
      <name val="Calibri"/>
      <b val="1"/>
      <color rgb="00AD1457"/>
      <sz val="16"/>
    </font>
    <font>
      <name val="Calibri"/>
      <i val="1"/>
      <color rgb="00666666"/>
      <sz val="11"/>
    </font>
    <font>
      <name val="Calibri"/>
      <b val="1"/>
      <color rgb="00333333"/>
      <sz val="11"/>
    </font>
    <font>
      <name val="Calibri"/>
      <color rgb="001155CC"/>
      <sz val="10"/>
      <u val="single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00695C"/>
      <sz val="15"/>
    </font>
    <font>
      <name val="Calibri"/>
      <b val="1"/>
      <color rgb="00333333"/>
      <sz val="12"/>
    </font>
    <font>
      <name val="Calibri"/>
      <b val="1"/>
      <color rgb="00666666"/>
      <sz val="12"/>
    </font>
  </fonts>
  <fills count="12">
    <fill>
      <patternFill/>
    </fill>
    <fill>
      <patternFill patternType="gray125"/>
    </fill>
    <fill>
      <patternFill patternType="solid">
        <fgColor rgb="005E35B1"/>
        <bgColor rgb="005E35B1"/>
      </patternFill>
    </fill>
    <fill>
      <patternFill patternType="solid">
        <fgColor rgb="004A148C"/>
        <bgColor rgb="004A148C"/>
      </patternFill>
    </fill>
    <fill>
      <patternFill patternType="solid">
        <fgColor rgb="006A1B9A"/>
        <bgColor rgb="006A1B9A"/>
      </patternFill>
    </fill>
    <fill>
      <patternFill patternType="solid">
        <fgColor rgb="00311B92"/>
        <bgColor rgb="00311B92"/>
      </patternFill>
    </fill>
    <fill>
      <patternFill patternType="solid">
        <fgColor rgb="007E57C2"/>
        <bgColor rgb="007E57C2"/>
      </patternFill>
    </fill>
    <fill>
      <patternFill patternType="solid">
        <fgColor rgb="001E88E5"/>
        <bgColor rgb="001E88E5"/>
      </patternFill>
    </fill>
    <fill>
      <patternFill patternType="solid">
        <fgColor rgb="001565C0"/>
        <bgColor rgb="001565C0"/>
      </patternFill>
    </fill>
    <fill>
      <patternFill patternType="solid">
        <fgColor rgb="0042A5F5"/>
        <bgColor rgb="0042A5F5"/>
      </patternFill>
    </fill>
    <fill>
      <patternFill patternType="solid">
        <fgColor rgb="0026A69A"/>
        <bgColor rgb="0026A69A"/>
      </patternFill>
    </fill>
    <fill>
      <patternFill patternType="solid">
        <fgColor rgb="00757575"/>
        <bgColor rgb="0075757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right"/>
    </xf>
    <xf numFmtId="3" fontId="5" fillId="0" borderId="0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/>
    </xf>
    <xf numFmtId="0" fontId="13" fillId="7" borderId="0" applyAlignment="1" pivotButton="0" quotePrefix="0" xfId="0">
      <alignment horizontal="center" vertical="center"/>
    </xf>
    <xf numFmtId="0" fontId="13" fillId="8" borderId="0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 wrapText="1"/>
    </xf>
    <xf numFmtId="0" fontId="12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4" fillId="10" borderId="0" applyAlignment="1" pivotButton="0" quotePrefix="0" xfId="0">
      <alignment horizontal="center"/>
    </xf>
    <xf numFmtId="0" fontId="14" fillId="10" borderId="0" pivotButton="0" quotePrefix="0" xfId="0"/>
    <xf numFmtId="0" fontId="5" fillId="0" borderId="1" applyAlignment="1" pivotButton="0" quotePrefix="0" xfId="0">
      <alignment horizontal="right"/>
    </xf>
    <xf numFmtId="0" fontId="17" fillId="0" borderId="0" pivotButton="0" quotePrefix="0" xfId="0"/>
    <xf numFmtId="0" fontId="14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28156; Fic Entries'!A3" TargetMode="External" Id="rId1" /><Relationship Type="http://schemas.openxmlformats.org/officeDocument/2006/relationships/hyperlink" Target="#'&#128153; Series Entries'!A3" TargetMode="External" Id="rId2" /><Relationship Type="http://schemas.openxmlformats.org/officeDocument/2006/relationships/hyperlink" Target="#'&#129653; Archive Statistics'!A3" TargetMode="External" Id="rId3" /><Relationship Type="http://schemas.openxmlformats.org/officeDocument/2006/relationships/hyperlink" Target="#'&#129655; Filter Instructions'!A3" TargetMode="External" Id="rId4" /></Relationships>
</file>

<file path=xl/worksheets/_rels/sheet3.xml.rels><Relationships xmlns="http://schemas.openxmlformats.org/package/2006/relationships"><Relationship Type="http://schemas.openxmlformats.org/officeDocument/2006/relationships/hyperlink" Target="#'&#129294; Home'!A1" TargetMode="External" Id="rId1" /><Relationship Type="http://schemas.openxmlformats.org/officeDocument/2006/relationships/hyperlink" Target="https://archiveofourown.org/works/55356616" TargetMode="External" Id="rId2" /><Relationship Type="http://schemas.openxmlformats.org/officeDocument/2006/relationships/hyperlink" Target="EPUBs/Percy Jackson and the Olympians/1967HogwartsGoddess/1967HogwartsGoddess &#8212; A Day in the Life of Camp Half Blood's Older Cousin [55356616].epub" TargetMode="External" Id="rId3" /><Relationship Type="http://schemas.openxmlformats.org/officeDocument/2006/relationships/hyperlink" Target="https://archiveofourown.org/works/26200348" TargetMode="External" Id="rId4" /><Relationship Type="http://schemas.openxmlformats.org/officeDocument/2006/relationships/hyperlink" Target="EPUBs/Percy Jackson and the Olympians/1967HogwartsGoddess/[Series] Falling For You/01 - 1967HogwartsGoddess &#8212; Falling for You [26200348].epub" TargetMode="External" Id="rId5" /></Relationships>
</file>

<file path=xl/worksheets/_rels/sheet4.xml.rels><Relationships xmlns="http://schemas.openxmlformats.org/package/2006/relationships"><Relationship Type="http://schemas.openxmlformats.org/officeDocument/2006/relationships/hyperlink" Target="#'&#129294; Home'!A1" TargetMode="External" Id="rId1" /><Relationship Type="http://schemas.openxmlformats.org/officeDocument/2006/relationships/hyperlink" Target="https://archiveofourown.org/series/1849129" TargetMode="External" Id="rId2" /><Relationship Type="http://schemas.openxmlformats.org/officeDocument/2006/relationships/hyperlink" Target="https://archiveofourown.org/works/26200348" TargetMode="External" Id="rId3" /></Relationships>
</file>

<file path=xl/worksheets/_rels/sheet5.xml.rels><Relationships xmlns="http://schemas.openxmlformats.org/package/2006/relationships"><Relationship Type="http://schemas.openxmlformats.org/officeDocument/2006/relationships/hyperlink" Target="#'&#129294; Home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2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65" customWidth="1" min="3" max="3"/>
  </cols>
  <sheetData>
    <row r="2">
      <c r="B2" s="1" t="inlineStr">
        <is>
          <t>◈ THE FANFICTION ARCHIVE ◈</t>
        </is>
      </c>
    </row>
    <row r="3">
      <c r="B3" s="2" t="inlineStr">
        <is>
          <t>Curated Fanfiction Library &amp; EPUB Catalog</t>
        </is>
      </c>
    </row>
    <row r="5">
      <c r="B5" s="3" t="inlineStr">
        <is>
          <t>Archive Information</t>
        </is>
      </c>
    </row>
    <row r="6">
      <c r="B6" s="4" t="inlineStr">
        <is>
          <t>Fandom / Library:</t>
        </is>
      </c>
      <c r="C6" s="5" t="inlineStr">
        <is>
          <t>Percy Jackson and the Olympians / Riordanverse</t>
        </is>
      </c>
    </row>
    <row r="7">
      <c r="B7" s="4" t="inlineStr">
        <is>
          <t>Curator / Admin:</t>
        </is>
      </c>
      <c r="C7" s="5" t="inlineStr">
        <is>
          <t>Ethan Chan</t>
        </is>
      </c>
    </row>
    <row r="8">
      <c r="B8" s="4" t="inlineStr">
        <is>
          <t>Export Date:</t>
        </is>
      </c>
      <c r="C8" s="5" t="inlineStr">
        <is>
          <t>2026-10-30</t>
        </is>
      </c>
    </row>
    <row r="10">
      <c r="B10" s="3" t="inlineStr">
        <is>
          <t>Archive Metrics</t>
        </is>
      </c>
    </row>
    <row r="11">
      <c r="B11" s="6" t="inlineStr">
        <is>
          <t>Total Works Indexed</t>
        </is>
      </c>
      <c r="C11" s="7">
        <f>COUNTA('💜 Fic Entries'!A4:A1000)</f>
        <v/>
      </c>
    </row>
    <row r="12">
      <c r="B12" s="6" t="inlineStr">
        <is>
          <t>Total Series Indexed</t>
        </is>
      </c>
      <c r="C12" s="7">
        <f>COUNTA('💙 Series Entries'!B4:B1000)</f>
        <v/>
      </c>
    </row>
    <row r="13">
      <c r="B13" s="6" t="inlineStr">
        <is>
          <t>Total Word Count</t>
        </is>
      </c>
      <c r="C13" s="8">
        <f>SUM('💜 Fic Entries'!H4:H1000)*1000</f>
        <v/>
      </c>
    </row>
    <row r="14">
      <c r="B14" s="6" t="inlineStr">
        <is>
          <t>Complete Works</t>
        </is>
      </c>
      <c r="C14" s="7">
        <f>COUNTIF('💜 Fic Entries'!C4:C1000, "Complete")</f>
        <v/>
      </c>
    </row>
    <row r="15">
      <c r="B15" s="6" t="inlineStr">
        <is>
          <t>Works in Progress</t>
        </is>
      </c>
      <c r="C15" s="7">
        <f>COUNTIF('💜 Fic Entries'!C4:C1000, "Work in Progress")</f>
        <v/>
      </c>
    </row>
    <row r="18">
      <c r="B18" s="3" t="inlineStr">
        <is>
          <t>Quick Navigation</t>
        </is>
      </c>
    </row>
    <row r="19">
      <c r="B19" s="9" t="inlineStr">
        <is>
          <t>💜 Fic Entries</t>
        </is>
      </c>
      <c r="C19" s="10" t="inlineStr">
        <is>
          <t>Browse all individual fanfiction entries with summaries, tags, and EPUBs</t>
        </is>
      </c>
    </row>
    <row r="20">
      <c r="B20" s="9" t="inlineStr">
        <is>
          <t>💙 Series Entries</t>
        </is>
      </c>
      <c r="C20" s="10" t="inlineStr">
        <is>
          <t>Browse series sequences, series word counts, and multi-part works</t>
        </is>
      </c>
    </row>
    <row r="21">
      <c r="B21" s="9" t="inlineStr">
        <is>
          <t>🩵 Archive Statistics</t>
        </is>
      </c>
      <c r="C21" s="10" t="inlineStr">
        <is>
          <t>View charts and breakdowns by rating, status, word range, and categories</t>
        </is>
      </c>
    </row>
    <row r="22">
      <c r="B22" s="9" t="inlineStr">
        <is>
          <t>🩷 Filter Instructions</t>
        </is>
      </c>
      <c r="C22" s="10" t="inlineStr">
        <is>
          <t>Quick tutorial on how to search and filter this archive</t>
        </is>
      </c>
    </row>
  </sheetData>
  <hyperlinks>
    <hyperlink xmlns:r="http://schemas.openxmlformats.org/officeDocument/2006/relationships" ref="B19" r:id="rId1"/>
    <hyperlink xmlns:r="http://schemas.openxmlformats.org/officeDocument/2006/relationships" ref="B20" r:id="rId2"/>
    <hyperlink xmlns:r="http://schemas.openxmlformats.org/officeDocument/2006/relationships" ref="B21" r:id="rId3"/>
    <hyperlink xmlns:r="http://schemas.openxmlformats.org/officeDocument/2006/relationships" ref="B22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1" t="inlineStr">
        <is>
          <t>How to Filter &amp; Search This Archive</t>
        </is>
      </c>
    </row>
    <row r="3">
      <c r="B3" s="12" t="inlineStr">
        <is>
          <t>Follow these simple tips to find exactly what you want to read.</t>
        </is>
      </c>
    </row>
    <row r="5">
      <c r="B5" s="13" t="inlineStr">
        <is>
          <t>1. Turning on Filters</t>
        </is>
      </c>
    </row>
    <row r="6">
      <c r="B6" s="5" t="inlineStr">
        <is>
          <t>Click on row 3 in "💜 Fic Entries", then in Google Sheets select Data &gt; Create a filter (or in Excel, Data &gt; Filter). Funnel drop-down icons will appear on every column header.</t>
        </is>
      </c>
    </row>
    <row r="7">
      <c r="B7" s="13" t="inlineStr">
        <is>
          <t>2. Filter by Rating</t>
        </is>
      </c>
    </row>
    <row r="8">
      <c r="B8" s="5" t="inlineStr">
        <is>
          <t>Click the drop-down on Column I (Rating). Clear all, then check only the ratings you want (e.g., "T" and "M").</t>
        </is>
      </c>
    </row>
    <row r="9">
      <c r="B9" s="13" t="inlineStr">
        <is>
          <t>3. Filter by Word Length</t>
        </is>
      </c>
    </row>
    <row r="10">
      <c r="B10" s="5" t="inlineStr">
        <is>
          <t>Column G provides convenient word brackets (&lt;10k, 10–25k, 25–50k, 50–100k, 100–200k, 200k+). Column H displays words in thousands for easy sorting.</t>
        </is>
      </c>
    </row>
    <row r="11">
      <c r="B11" s="13" t="inlineStr">
        <is>
          <t>4. Searching for Tropes or Characters</t>
        </is>
      </c>
    </row>
    <row r="12">
      <c r="B12" s="5" t="inlineStr">
        <is>
          <t>Use the text search inside the column filter menu. For example, click the funnel on Column M (Main Relationship/s) or Column O (Genres), type "Fluff" or "Percabeth", and click OK.</t>
        </is>
      </c>
    </row>
    <row r="13">
      <c r="B13" s="13" t="inlineStr">
        <is>
          <t>5. Finding EPUBs in Google Drive</t>
        </is>
      </c>
    </row>
    <row r="14">
      <c r="B14" s="5" t="inlineStr">
        <is>
          <t>Column Z contains the EPUB filename and relative folder path. If you downloaded the archive folder or are viewing the shared Google Drive folder, search or navigate into the Fandom/Author folder matching Column Z.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45" customWidth="1" min="4" max="4"/>
    <col width="18" customWidth="1" min="5" max="5"/>
    <col width="12" customWidth="1" min="6" max="6"/>
    <col width="14" customWidth="1" min="7" max="7"/>
    <col width="15" customWidth="1" min="8" max="8"/>
    <col width="10" customWidth="1" min="9" max="9"/>
    <col width="22" customWidth="1" min="10" max="10"/>
    <col width="11" customWidth="1" min="11" max="11"/>
    <col width="12" customWidth="1" min="12" max="12"/>
    <col width="25" customWidth="1" min="13" max="13"/>
    <col width="25" customWidth="1" min="14" max="14"/>
    <col width="22" customWidth="1" min="15" max="15"/>
    <col width="25" customWidth="1" min="16" max="16"/>
    <col width="22" customWidth="1" min="17" max="17"/>
    <col width="18" customWidth="1" min="18" max="18"/>
    <col width="18" customWidth="1" min="19" max="19"/>
    <col width="18" customWidth="1" min="20" max="20"/>
    <col width="16" customWidth="1" min="21" max="21"/>
    <col width="16" customWidth="1" min="22" max="22"/>
    <col width="25" customWidth="1" min="23" max="23"/>
    <col width="16" customWidth="1" min="24" max="24"/>
    <col width="24" customWidth="1" min="25" max="25"/>
    <col width="35" customWidth="1" min="26" max="26"/>
    <col width="25" customWidth="1" min="27" max="27"/>
  </cols>
  <sheetData>
    <row r="1">
      <c r="A1" s="14" t="inlineStr">
        <is>
          <t>← Back to Home</t>
        </is>
      </c>
    </row>
    <row r="2" ht="24" customHeight="1">
      <c r="A2" s="15" t="inlineStr">
        <is>
          <t>Basic Information</t>
        </is>
      </c>
      <c r="F2" s="16" t="inlineStr">
        <is>
          <t>Length</t>
        </is>
      </c>
      <c r="I2" s="15" t="inlineStr">
        <is>
          <t>Warnings / Crossover</t>
        </is>
      </c>
      <c r="L2" s="17" t="inlineStr">
        <is>
          <t>Relationships</t>
        </is>
      </c>
      <c r="O2" s="15" t="inlineStr">
        <is>
          <t>Genres / Tropes</t>
        </is>
      </c>
      <c r="R2" s="16" t="inlineStr">
        <is>
          <t>Setting</t>
        </is>
      </c>
      <c r="U2" s="15" t="inlineStr">
        <is>
          <t>Other Tags</t>
        </is>
      </c>
      <c r="Y2" s="18" t="inlineStr">
        <is>
          <t>Files</t>
        </is>
      </c>
    </row>
    <row r="3" ht="28" customHeight="1">
      <c r="A3" s="19" t="inlineStr">
        <is>
          <t>Title</t>
        </is>
      </c>
      <c r="B3" s="19" t="inlineStr">
        <is>
          <t>Author</t>
        </is>
      </c>
      <c r="C3" s="19" t="inlineStr">
        <is>
          <t>Status</t>
        </is>
      </c>
      <c r="D3" s="19" t="inlineStr">
        <is>
          <t>Summary</t>
        </is>
      </c>
      <c r="E3" s="19" t="inlineStr">
        <is>
          <t>Series</t>
        </is>
      </c>
      <c r="F3" s="19" t="inlineStr">
        <is>
          <t>Chapters</t>
        </is>
      </c>
      <c r="G3" s="19" t="inlineStr">
        <is>
          <t>Word Range</t>
        </is>
      </c>
      <c r="H3" s="19" t="inlineStr">
        <is>
          <t>Word Count (Thousand)</t>
        </is>
      </c>
      <c r="I3" s="19" t="inlineStr">
        <is>
          <t>Rating</t>
        </is>
      </c>
      <c r="J3" s="19" t="inlineStr">
        <is>
          <t>Warnings</t>
        </is>
      </c>
      <c r="K3" s="19" t="inlineStr">
        <is>
          <t>Crossover</t>
        </is>
      </c>
      <c r="L3" s="19" t="inlineStr">
        <is>
          <t>Category</t>
        </is>
      </c>
      <c r="M3" s="19" t="inlineStr">
        <is>
          <t>Main Relationship/s</t>
        </is>
      </c>
      <c r="N3" s="19" t="inlineStr">
        <is>
          <t>Other Relationships</t>
        </is>
      </c>
      <c r="O3" s="19" t="inlineStr">
        <is>
          <t>Genres</t>
        </is>
      </c>
      <c r="P3" s="19" t="inlineStr">
        <is>
          <t>(Romantic) Relationship Tropes</t>
        </is>
      </c>
      <c r="Q3" s="19" t="inlineStr">
        <is>
          <t>Character Tropes</t>
        </is>
      </c>
      <c r="R3" s="19" t="inlineStr">
        <is>
          <t>Canon Status</t>
        </is>
      </c>
      <c r="S3" s="19" t="inlineStr">
        <is>
          <t>Location</t>
        </is>
      </c>
      <c r="T3" s="19" t="inlineStr">
        <is>
          <t>Time Period</t>
        </is>
      </c>
      <c r="U3" s="19" t="inlineStr">
        <is>
          <t>Main POV</t>
        </is>
      </c>
      <c r="V3" s="19" t="inlineStr">
        <is>
          <t>Minor POV</t>
        </is>
      </c>
      <c r="W3" s="19" t="inlineStr">
        <is>
          <t>Additional Tags</t>
        </is>
      </c>
      <c r="X3" s="19" t="inlineStr">
        <is>
          <t>Admin / Shelf</t>
        </is>
      </c>
      <c r="Y3" s="19" t="inlineStr">
        <is>
          <t>Original Link</t>
        </is>
      </c>
      <c r="Z3" s="19" t="inlineStr">
        <is>
          <t>EPUB</t>
        </is>
      </c>
      <c r="AA3" s="19" t="inlineStr">
        <is>
          <t>PDF</t>
        </is>
      </c>
    </row>
    <row r="4">
      <c r="A4" s="20" t="inlineStr">
        <is>
          <t>A Day in the Life of Camp Half Blood's Older Cousin</t>
        </is>
      </c>
      <c r="B4" s="20" t="inlineStr">
        <is>
          <t>1967HogwartsGoddess</t>
        </is>
      </c>
      <c r="C4" s="21" t="inlineStr">
        <is>
          <t>Complete</t>
        </is>
      </c>
      <c r="D4" s="22" t="inlineStr">
        <is>
          <t>“I come here when I have nightmares,” Percy said casually. When Annabeth is ill, Percy wanders around camp all day helping those who need it.</t>
        </is>
      </c>
      <c r="E4" s="20" t="inlineStr">
        <is>
          <t>No</t>
        </is>
      </c>
      <c r="F4" s="21" t="inlineStr">
        <is>
          <t>One-shot</t>
        </is>
      </c>
      <c r="G4" s="21" t="inlineStr">
        <is>
          <t>10–25k</t>
        </is>
      </c>
      <c r="H4" s="21" t="n">
        <v>12</v>
      </c>
      <c r="I4" s="21" t="inlineStr">
        <is>
          <t>G</t>
        </is>
      </c>
      <c r="J4" s="20" t="inlineStr">
        <is>
          <t>None Apply</t>
        </is>
      </c>
      <c r="K4" s="21" t="inlineStr">
        <is>
          <t>No</t>
        </is>
      </c>
      <c r="L4" s="21" t="inlineStr">
        <is>
          <t>Gen</t>
        </is>
      </c>
      <c r="M4" s="20" t="inlineStr">
        <is>
          <t>Percy &amp; Camp Half-Blood Campers</t>
        </is>
      </c>
      <c r="N4" s="20" t="inlineStr">
        <is>
          <t>Percabeth, Solangelo</t>
        </is>
      </c>
      <c r="O4" s="20" t="inlineStr">
        <is>
          <t>Friendship, Fluff, Humour</t>
        </is>
      </c>
      <c r="P4" s="20" t="inlineStr">
        <is>
          <t>Established Relationship</t>
        </is>
      </c>
      <c r="Q4" s="20" t="inlineStr">
        <is>
          <t>BAMF!Percy</t>
        </is>
      </c>
      <c r="R4" s="20" t="inlineStr">
        <is>
          <t>Canon Compliant</t>
        </is>
      </c>
      <c r="S4" s="20" t="inlineStr">
        <is>
          <t>Camp Half-Blood</t>
        </is>
      </c>
      <c r="T4" s="20" t="inlineStr">
        <is>
          <t>Post-Tartarus</t>
        </is>
      </c>
      <c r="U4" s="20" t="inlineStr">
        <is>
          <t>Percy POV</t>
        </is>
      </c>
      <c r="V4" s="20" t="inlineStr">
        <is>
          <t>None</t>
        </is>
      </c>
      <c r="W4" s="20" t="inlineStr">
        <is>
          <t>Capture the Flag, Sibling Bonding</t>
        </is>
      </c>
      <c r="X4" s="20" t="inlineStr">
        <is>
          <t>Favorites</t>
        </is>
      </c>
      <c r="Y4" s="23" t="inlineStr">
        <is>
          <t>https://archiveofourown.org/works/55356616</t>
        </is>
      </c>
      <c r="Z4" s="23" t="inlineStr">
        <is>
          <t>1967HogwartsGoddess — A Day in the Life of Camp Half Blood's Older Cousin [55356616].epub</t>
        </is>
      </c>
      <c r="AA4" s="20" t="inlineStr"/>
    </row>
    <row r="5">
      <c r="A5" s="20" t="inlineStr">
        <is>
          <t>Falling for You</t>
        </is>
      </c>
      <c r="B5" s="20" t="inlineStr">
        <is>
          <t>1967HogwartsGoddess</t>
        </is>
      </c>
      <c r="C5" s="21" t="inlineStr">
        <is>
          <t>Complete</t>
        </is>
      </c>
      <c r="D5" s="22" t="inlineStr">
        <is>
          <t>In an alternate series of events, Percy saves Annabeth from falling into Tartarus. Too bad he can't save himself.</t>
        </is>
      </c>
      <c r="E5" s="20" t="inlineStr">
        <is>
          <t>Falling For You #1</t>
        </is>
      </c>
      <c r="F5" s="21" t="inlineStr">
        <is>
          <t>Multi-chapter</t>
        </is>
      </c>
      <c r="G5" s="21" t="inlineStr">
        <is>
          <t>200k+</t>
        </is>
      </c>
      <c r="H5" s="21" t="n">
        <v>270</v>
      </c>
      <c r="I5" s="21" t="inlineStr">
        <is>
          <t>M</t>
        </is>
      </c>
      <c r="J5" s="20" t="inlineStr">
        <is>
          <t>Graphic Violence</t>
        </is>
      </c>
      <c r="K5" s="21" t="inlineStr">
        <is>
          <t>No</t>
        </is>
      </c>
      <c r="L5" s="21" t="inlineStr">
        <is>
          <t>F/M</t>
        </is>
      </c>
      <c r="M5" s="20" t="inlineStr">
        <is>
          <t>Percy Jackson/Annabeth Chase</t>
        </is>
      </c>
      <c r="N5" s="20" t="inlineStr">
        <is>
          <t>Nico &amp; Percy</t>
        </is>
      </c>
      <c r="O5" s="20" t="inlineStr">
        <is>
          <t>Angst, Action, Romance</t>
        </is>
      </c>
      <c r="P5" s="20" t="inlineStr">
        <is>
          <t>Slow Burn, Soulmates</t>
        </is>
      </c>
      <c r="Q5" s="20" t="inlineStr">
        <is>
          <t>Dark!Percy</t>
        </is>
      </c>
      <c r="R5" s="20" t="inlineStr">
        <is>
          <t>Canon Divergence</t>
        </is>
      </c>
      <c r="S5" s="20" t="inlineStr">
        <is>
          <t>Tartarus</t>
        </is>
      </c>
      <c r="T5" s="20" t="inlineStr">
        <is>
          <t>Mark of Athena</t>
        </is>
      </c>
      <c r="U5" s="20" t="inlineStr">
        <is>
          <t>Percy POV</t>
        </is>
      </c>
      <c r="V5" s="20" t="inlineStr">
        <is>
          <t>Annabeth POV</t>
        </is>
      </c>
      <c r="W5" s="20" t="inlineStr">
        <is>
          <t>Underworld, Survival</t>
        </is>
      </c>
      <c r="X5" s="20" t="inlineStr">
        <is>
          <t>Comfort Fics</t>
        </is>
      </c>
      <c r="Y5" s="23" t="inlineStr">
        <is>
          <t>https://archiveofourown.org/works/26200348</t>
        </is>
      </c>
      <c r="Z5" s="23" t="inlineStr">
        <is>
          <t>01 - 1967HogwartsGoddess — Falling for You [26200348].epub</t>
        </is>
      </c>
      <c r="AA5" s="20" t="inlineStr"/>
    </row>
  </sheetData>
  <mergeCells count="8">
    <mergeCell ref="I2:K2"/>
    <mergeCell ref="Y2:AA2"/>
    <mergeCell ref="A2:E2"/>
    <mergeCell ref="R2:T2"/>
    <mergeCell ref="U2:X2"/>
    <mergeCell ref="F2:H2"/>
    <mergeCell ref="L2:N2"/>
    <mergeCell ref="O2:Q2"/>
  </mergeCells>
  <hyperlinks>
    <hyperlink xmlns:r="http://schemas.openxmlformats.org/officeDocument/2006/relationships" ref="A1" r:id="rId1"/>
    <hyperlink xmlns:r="http://schemas.openxmlformats.org/officeDocument/2006/relationships" ref="Y4" r:id="rId2"/>
    <hyperlink xmlns:r="http://schemas.openxmlformats.org/officeDocument/2006/relationships" ref="Z4" r:id="rId3"/>
    <hyperlink xmlns:r="http://schemas.openxmlformats.org/officeDocument/2006/relationships" ref="Y5" r:id="rId4"/>
    <hyperlink xmlns:r="http://schemas.openxmlformats.org/officeDocument/2006/relationships" ref="Z5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14" customWidth="1" min="4" max="4"/>
    <col width="32" customWidth="1" min="5" max="5"/>
    <col width="12" customWidth="1" min="6" max="6"/>
    <col width="14" customWidth="1" min="7" max="7"/>
    <col width="15" customWidth="1" min="8" max="8"/>
    <col width="10" customWidth="1" min="9" max="9"/>
    <col width="25" customWidth="1" min="10" max="10"/>
    <col width="25" customWidth="1" min="11" max="11"/>
  </cols>
  <sheetData>
    <row r="1">
      <c r="A1" s="14" t="inlineStr">
        <is>
          <t>← Back to Home</t>
        </is>
      </c>
    </row>
    <row r="2" ht="24" customHeight="1">
      <c r="A2" s="24" t="inlineStr">
        <is>
          <t>Series Information</t>
        </is>
      </c>
      <c r="D2" s="25" t="inlineStr">
        <is>
          <t>Fic Information at a Glance</t>
        </is>
      </c>
      <c r="K2" s="24" t="inlineStr">
        <is>
          <t>Links</t>
        </is>
      </c>
    </row>
    <row r="3" ht="28" customHeight="1">
      <c r="A3" s="26" t="inlineStr">
        <is>
          <t>Series Link</t>
        </is>
      </c>
      <c r="B3" s="26" t="inlineStr">
        <is>
          <t>Series Title</t>
        </is>
      </c>
      <c r="C3" s="26" t="inlineStr">
        <is>
          <t>Author</t>
        </is>
      </c>
      <c r="D3" s="26" t="inlineStr">
        <is>
          <t>No. in Series</t>
        </is>
      </c>
      <c r="E3" s="26" t="inlineStr">
        <is>
          <t>Fic Title</t>
        </is>
      </c>
      <c r="F3" s="26" t="inlineStr">
        <is>
          <t>Status</t>
        </is>
      </c>
      <c r="G3" s="26" t="inlineStr">
        <is>
          <t>Chapters</t>
        </is>
      </c>
      <c r="H3" s="26" t="inlineStr">
        <is>
          <t>Word Count (Thousand)</t>
        </is>
      </c>
      <c r="I3" s="26" t="inlineStr">
        <is>
          <t>Rating</t>
        </is>
      </c>
      <c r="J3" s="26" t="inlineStr">
        <is>
          <t>Main Relationship</t>
        </is>
      </c>
      <c r="K3" s="26" t="inlineStr">
        <is>
          <t>Fic Link</t>
        </is>
      </c>
    </row>
    <row r="4">
      <c r="A4" s="27" t="inlineStr">
        <is>
          <t>https://archiveofourown.org/series/1849129</t>
        </is>
      </c>
      <c r="B4" s="28" t="inlineStr">
        <is>
          <t>Falling For You</t>
        </is>
      </c>
      <c r="C4" s="28" t="inlineStr">
        <is>
          <t>1967HogwartsGoddess</t>
        </is>
      </c>
      <c r="D4" s="29" t="n">
        <v>1</v>
      </c>
      <c r="E4" s="28" t="inlineStr">
        <is>
          <t>Falling for You</t>
        </is>
      </c>
      <c r="F4" s="29" t="inlineStr">
        <is>
          <t>Complete</t>
        </is>
      </c>
      <c r="G4" s="29" t="inlineStr">
        <is>
          <t>Multi-chapter</t>
        </is>
      </c>
      <c r="H4" s="29" t="n">
        <v>270</v>
      </c>
      <c r="I4" s="29" t="inlineStr">
        <is>
          <t>M</t>
        </is>
      </c>
      <c r="J4" s="28" t="inlineStr">
        <is>
          <t>Percy Jackson/Annabeth Chase</t>
        </is>
      </c>
      <c r="K4" s="27" t="inlineStr">
        <is>
          <t>https://archiveofourown.org/works/26200348</t>
        </is>
      </c>
    </row>
  </sheetData>
  <mergeCells count="3">
    <mergeCell ref="K2"/>
    <mergeCell ref="A2:C2"/>
    <mergeCell ref="D2:J2"/>
  </mergeCells>
  <hyperlinks>
    <hyperlink xmlns:r="http://schemas.openxmlformats.org/officeDocument/2006/relationships" ref="A1" r:id="rId1"/>
    <hyperlink xmlns:r="http://schemas.openxmlformats.org/officeDocument/2006/relationships" ref="A4" r:id="rId2"/>
    <hyperlink xmlns:r="http://schemas.openxmlformats.org/officeDocument/2006/relationships" ref="K4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2" customWidth="1" min="3" max="3"/>
    <col width="6" customWidth="1" min="4" max="4"/>
    <col width="20" customWidth="1" min="5" max="5"/>
    <col width="12" customWidth="1" min="6" max="6"/>
    <col width="6" customWidth="1" min="7" max="7"/>
    <col width="18" customWidth="1" min="8" max="8"/>
    <col width="12" customWidth="1" min="9" max="9"/>
  </cols>
  <sheetData>
    <row r="1">
      <c r="A1" s="14" t="inlineStr">
        <is>
          <t>← Back to Home</t>
        </is>
      </c>
    </row>
    <row r="2">
      <c r="B2" s="30" t="inlineStr">
        <is>
          <t>ARCHIVE STATISTICS &amp; ANALYTICS</t>
        </is>
      </c>
    </row>
    <row r="4">
      <c r="B4" s="31" t="inlineStr">
        <is>
          <t>Rating Breakdown</t>
        </is>
      </c>
      <c r="E4" s="31" t="inlineStr">
        <is>
          <t>Completion Status</t>
        </is>
      </c>
      <c r="H4" s="31" t="inlineStr">
        <is>
          <t>Length Breakdown</t>
        </is>
      </c>
    </row>
    <row r="5">
      <c r="B5" s="32" t="inlineStr">
        <is>
          <t>Rating</t>
        </is>
      </c>
      <c r="C5" s="32" t="inlineStr">
        <is>
          <t>Count</t>
        </is>
      </c>
      <c r="E5" s="33" t="inlineStr">
        <is>
          <t>Status</t>
        </is>
      </c>
      <c r="F5" s="33" t="inlineStr">
        <is>
          <t>Count</t>
        </is>
      </c>
      <c r="H5" s="33" t="inlineStr">
        <is>
          <t>Word Range</t>
        </is>
      </c>
      <c r="I5" s="33" t="inlineStr">
        <is>
          <t>Count</t>
        </is>
      </c>
    </row>
    <row r="6">
      <c r="B6" s="28" t="inlineStr">
        <is>
          <t>G</t>
        </is>
      </c>
      <c r="C6" s="34">
        <f>COUNTIF('💜 Fic Entries'!I:I, "G")</f>
        <v/>
      </c>
      <c r="E6" s="28" t="inlineStr">
        <is>
          <t>Complete</t>
        </is>
      </c>
      <c r="F6" s="34">
        <f>COUNTIF('💜 Fic Entries'!C:C, "Complete")</f>
        <v/>
      </c>
      <c r="H6" s="28" t="inlineStr">
        <is>
          <t>&lt;10k</t>
        </is>
      </c>
      <c r="I6" s="34">
        <f>COUNTIF('💜 Fic Entries'!G:G, "&lt;10k")</f>
        <v/>
      </c>
    </row>
    <row r="7">
      <c r="B7" s="28" t="inlineStr">
        <is>
          <t>T</t>
        </is>
      </c>
      <c r="C7" s="34">
        <f>COUNTIF('💜 Fic Entries'!I:I, "T")</f>
        <v/>
      </c>
      <c r="E7" s="28" t="inlineStr">
        <is>
          <t>Work in Progress</t>
        </is>
      </c>
      <c r="F7" s="34">
        <f>COUNTIF('💜 Fic Entries'!C:C, "Work in Progress")</f>
        <v/>
      </c>
      <c r="H7" s="28" t="inlineStr">
        <is>
          <t>10–25k</t>
        </is>
      </c>
      <c r="I7" s="34">
        <f>COUNTIF('💜 Fic Entries'!G:G, "10–25k")</f>
        <v/>
      </c>
    </row>
    <row r="8">
      <c r="B8" s="28" t="inlineStr">
        <is>
          <t>M</t>
        </is>
      </c>
      <c r="C8" s="34">
        <f>COUNTIF('💜 Fic Entries'!I:I, "M")</f>
        <v/>
      </c>
      <c r="H8" s="28" t="inlineStr">
        <is>
          <t>25–50k</t>
        </is>
      </c>
      <c r="I8" s="34">
        <f>COUNTIF('💜 Fic Entries'!G:G, "25–50k")</f>
        <v/>
      </c>
    </row>
    <row r="9">
      <c r="B9" s="28" t="inlineStr">
        <is>
          <t>E</t>
        </is>
      </c>
      <c r="C9" s="34">
        <f>COUNTIF('💜 Fic Entries'!I:I, "E")</f>
        <v/>
      </c>
      <c r="H9" s="28" t="inlineStr">
        <is>
          <t>50–100k</t>
        </is>
      </c>
      <c r="I9" s="34">
        <f>COUNTIF('💜 Fic Entries'!G:G, "50–100k")</f>
        <v/>
      </c>
    </row>
    <row r="10">
      <c r="B10" s="28" t="inlineStr">
        <is>
          <t>Not Rated</t>
        </is>
      </c>
      <c r="C10" s="34">
        <f>COUNTIF('💜 Fic Entries'!I:I, "Not Rated")</f>
        <v/>
      </c>
      <c r="H10" s="28" t="inlineStr">
        <is>
          <t>100–200k</t>
        </is>
      </c>
      <c r="I10" s="34">
        <f>COUNTIF('💜 Fic Entries'!G:G, "100–200k")</f>
        <v/>
      </c>
    </row>
    <row r="11">
      <c r="H11" s="28" t="inlineStr">
        <is>
          <t>200k+</t>
        </is>
      </c>
      <c r="I11" s="34">
        <f>COUNTIF('💜 Fic Entries'!G:G, "200k+")</f>
        <v/>
      </c>
    </row>
    <row r="14">
      <c r="B14" s="31" t="inlineStr">
        <is>
          <t>Relationship Categories</t>
        </is>
      </c>
    </row>
    <row r="15">
      <c r="B15" s="33" t="inlineStr">
        <is>
          <t>Category</t>
        </is>
      </c>
      <c r="C15" s="33" t="inlineStr">
        <is>
          <t>Count</t>
        </is>
      </c>
    </row>
    <row r="16">
      <c r="B16" s="28" t="inlineStr">
        <is>
          <t>Gen</t>
        </is>
      </c>
      <c r="C16" s="34">
        <f>COUNTIF('💜 Fic Entries'!L:L, "*Gen*")</f>
        <v/>
      </c>
    </row>
    <row r="17">
      <c r="B17" s="28" t="inlineStr">
        <is>
          <t>M/M</t>
        </is>
      </c>
      <c r="C17" s="34">
        <f>COUNTIF('💜 Fic Entries'!L:L, "*M/M*")</f>
        <v/>
      </c>
    </row>
    <row r="18">
      <c r="B18" s="28" t="inlineStr">
        <is>
          <t>F/F</t>
        </is>
      </c>
      <c r="C18" s="34">
        <f>COUNTIF('💜 Fic Entries'!L:L, "*F/F*")</f>
        <v/>
      </c>
    </row>
    <row r="19">
      <c r="B19" s="28" t="inlineStr">
        <is>
          <t>F/M</t>
        </is>
      </c>
      <c r="C19" s="34">
        <f>COUNTIF('💜 Fic Entries'!L:L, "*F/M*")</f>
        <v/>
      </c>
    </row>
    <row r="20">
      <c r="B20" s="28" t="inlineStr">
        <is>
          <t>Multi</t>
        </is>
      </c>
      <c r="C20" s="34">
        <f>COUNTIF('💜 Fic Entries'!L:L, "*Multi*")</f>
        <v/>
      </c>
    </row>
    <row r="21">
      <c r="B21" s="28" t="inlineStr">
        <is>
          <t>Other</t>
        </is>
      </c>
      <c r="C21" s="34">
        <f>COUNTIF('💜 Fic Entries'!L:L, "*Other*")</f>
        <v/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sheetData>
    <row r="1">
      <c r="A1" s="35" t="inlineStr">
        <is>
          <t>CONTROLLED VOCABULARY REFERENCE</t>
        </is>
      </c>
    </row>
    <row r="3">
      <c r="B3" s="36" t="inlineStr">
        <is>
          <t>Rating</t>
        </is>
      </c>
      <c r="E3" s="36" t="inlineStr">
        <is>
          <t>Genres</t>
        </is>
      </c>
      <c r="H3" s="36" t="inlineStr">
        <is>
          <t>Canon Status</t>
        </is>
      </c>
    </row>
    <row r="4">
      <c r="B4" t="inlineStr">
        <is>
          <t>G</t>
        </is>
      </c>
      <c r="C4" t="inlineStr">
        <is>
          <t>General Audiences</t>
        </is>
      </c>
      <c r="E4" t="inlineStr">
        <is>
          <t>Fluff</t>
        </is>
      </c>
      <c r="H4" t="inlineStr">
        <is>
          <t>Canon Compliant</t>
        </is>
      </c>
    </row>
    <row r="5">
      <c r="B5" t="inlineStr">
        <is>
          <t>T</t>
        </is>
      </c>
      <c r="C5" t="inlineStr">
        <is>
          <t>Teen And Up Audiences</t>
        </is>
      </c>
      <c r="E5" t="inlineStr">
        <is>
          <t>Angst</t>
        </is>
      </c>
      <c r="H5" t="inlineStr">
        <is>
          <t>Canon Divergence</t>
        </is>
      </c>
    </row>
    <row r="6">
      <c r="B6" t="inlineStr">
        <is>
          <t>M</t>
        </is>
      </c>
      <c r="C6" t="inlineStr">
        <is>
          <t>Mature</t>
        </is>
      </c>
      <c r="E6" t="inlineStr">
        <is>
          <t>Romance</t>
        </is>
      </c>
      <c r="H6" t="inlineStr">
        <is>
          <t>Alternate Universe - Canon Divergence</t>
        </is>
      </c>
    </row>
    <row r="7">
      <c r="B7" t="inlineStr">
        <is>
          <t>E</t>
        </is>
      </c>
      <c r="C7" t="inlineStr">
        <is>
          <t>Explicit</t>
        </is>
      </c>
      <c r="E7" t="inlineStr">
        <is>
          <t>Humour</t>
        </is>
      </c>
      <c r="H7" t="inlineStr">
        <is>
          <t>Alternate Universe - Modern</t>
        </is>
      </c>
    </row>
    <row r="8">
      <c r="B8" t="inlineStr">
        <is>
          <t>NR</t>
        </is>
      </c>
      <c r="C8" t="inlineStr">
        <is>
          <t>Not Rated</t>
        </is>
      </c>
      <c r="E8" t="inlineStr">
        <is>
          <t>Friendship</t>
        </is>
      </c>
      <c r="H8" t="inlineStr">
        <is>
          <t>Post-Canon</t>
        </is>
      </c>
    </row>
    <row r="9">
      <c r="E9" t="inlineStr">
        <is>
          <t>Hurt/Comfort</t>
        </is>
      </c>
      <c r="H9" t="inlineStr">
        <is>
          <t>Pre-Canon</t>
        </is>
      </c>
    </row>
    <row r="10">
      <c r="E10" t="inlineStr">
        <is>
          <t>Action/Adventure</t>
        </is>
      </c>
    </row>
    <row r="11">
      <c r="E11" t="inlineStr">
        <is>
          <t>Mystery</t>
        </is>
      </c>
    </row>
    <row r="12">
      <c r="E12" t="inlineStr">
        <is>
          <t>Drama</t>
        </is>
      </c>
    </row>
    <row r="13">
      <c r="E13" t="inlineStr">
        <is>
          <t>Family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2026-10-30T05:18:52Z</dcterms:created>
  <dcterms:modified xsi:type="dcterms:W3CDTF">2026-10-30T05:18:52Z</dcterms:modified>
</cp:coreProperties>
</file>